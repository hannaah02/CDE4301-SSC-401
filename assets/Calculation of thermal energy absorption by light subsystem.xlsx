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985853_u_nus_edu/Documents/"/>
    </mc:Choice>
  </mc:AlternateContent>
  <xr:revisionPtr revIDLastSave="3" documentId="8_{51368FB0-1D5E-4829-B457-8480CCF03865}" xr6:coauthVersionLast="47" xr6:coauthVersionMax="47" xr10:uidLastSave="{F876D67F-9A18-44EB-98CC-A7DCA1FC0F8B}"/>
  <bookViews>
    <workbookView xWindow="-108" yWindow="-108" windowWidth="23256" windowHeight="12456" activeTab="1" xr2:uid="{8BA09497-B055-4285-AAA1-28E6FC7E66BC}"/>
  </bookViews>
  <sheets>
    <sheet name="Reflector" sheetId="1" r:id="rId1"/>
    <sheet name="Recei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2" l="1"/>
  <c r="V5" i="2"/>
  <c r="H6" i="2"/>
  <c r="G6" i="2"/>
  <c r="P6" i="2"/>
  <c r="Q6" i="2" s="1"/>
  <c r="U6" i="2" s="1"/>
  <c r="C6" i="2"/>
  <c r="E13" i="1"/>
  <c r="H5" i="2"/>
  <c r="C5" i="2"/>
  <c r="G5" i="2"/>
  <c r="P5" i="2"/>
  <c r="Q5" i="2" s="1"/>
  <c r="U5" i="2" s="1"/>
  <c r="K11" i="1"/>
  <c r="E4" i="1"/>
  <c r="M10" i="1"/>
  <c r="M11" i="1" s="1"/>
  <c r="L10" i="1"/>
  <c r="L11" i="1" s="1"/>
  <c r="N11" i="1" l="1"/>
  <c r="F4" i="1" s="1"/>
  <c r="H4" i="1" s="1"/>
  <c r="B5" i="2" s="1"/>
  <c r="D5" i="2" s="1"/>
  <c r="I5" i="2" s="1"/>
  <c r="F13" i="1" l="1"/>
  <c r="H13" i="1" s="1"/>
  <c r="B6" i="2" s="1"/>
  <c r="D6" i="2" s="1"/>
  <c r="I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tc={AD559687-C0DB-424C-B603-137F20BBBD69}</author>
    <author>tc={35D96BD2-8BBB-4DE9-8A85-BC65E9B7FF9F}</author>
    <author>tc={E3E8E225-249D-4175-9409-33DD8342E60F}</author>
    <author>tc={B1E00D54-8AA5-49A5-BF9B-94D01D9D50AF}</author>
    <author>tc={D9333D69-295C-41CC-9C2B-9ADE7561F7FD}</author>
    <author>tc={6BF0226C-ECDA-4F75-A056-63E39D496B5A}</author>
  </authors>
  <commentList>
    <comment ref="K8" authorId="0" shapeId="0" xr:uid="{AD559687-C0DB-424C-B603-137F20BBBD6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https://www.researchgate.net/figure/Ultraviolet-visible-UV-vis-absorption-spectrum-for-Al-metal-complex_fig1_350942334</t>
      </text>
    </comment>
    <comment ref="L8" authorId="1" shapeId="0" xr:uid="{35D96BD2-8BBB-4DE9-8A85-BC65E9B7FF9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https://www-sciencedirect-com.libproxy1.nus.edu.sg/science/article/pii/S0143816600000105</t>
      </text>
    </comment>
    <comment ref="M8" authorId="2" shapeId="0" xr:uid="{E3E8E225-249D-4175-9409-33DD8342E60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https://osb.westfraser.com/wp-content/uploads/2017/05/The-Physics-of-Foil.pdf</t>
      </text>
    </comment>
    <comment ref="K9" authorId="3" shapeId="0" xr:uid="{B1E00D54-8AA5-49A5-BF9B-94D01D9D50A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https://uvacrylic.com/blog/can-infrared-pass-through-acrylic/#:~:text=Get%20the%20Right%20Info%20Here,methods%20to%20work%20with%20them.</t>
      </text>
    </comment>
    <comment ref="L9" authorId="4" shapeId="0" xr:uid="{D9333D69-295C-41CC-9C2B-9ADE7561F7F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rylite.co/resources/knowledge-base/article/can-you-explain-the-visible-light-spectrum-and-transmission-and-show-how-your-acrylite-r-acrylic-sheets-compare-to-each-other?category=product-properties#:~:text=However%2C%20the%20eye%20is%20not,green%20areas%20of%20the%20spectrum.&amp;text=When%20a%20light%20beam%20strikes,factor%20will%20be%20approximately%2085%25.</t>
      </text>
    </comment>
    <comment ref="M9" authorId="5" shapeId="0" xr:uid="{6BF0226C-ECDA-4F75-A056-63E39D496B5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https://uvacrylic.com/blog/can-infrared-pass-through-acrylic/#:~:text=Get%20the%20Right%20Info%20Here,methods%20to%20work%20with%20them.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tc={1C952562-496D-4792-A5DC-3F9A2B35452F}</author>
    <author>tc={91C80942-E1F1-4E3C-8E58-427A5BAE121B}</author>
    <author>tc={81B409CB-00EF-4F51-9D57-D5346AB42FAA}</author>
    <author>tc={F6F6861F-97A1-4285-BCDC-18F78EDF9322}</author>
    <author>tc={9D9FDF31-8926-4934-A730-7002D6528FED}</author>
    <author>tc={D875B9E2-0B90-4EF7-8A24-A1B6C8F348D9}</author>
    <author>tc={CCFBDDE0-E6D9-491F-93F6-A084E74DE361}</author>
    <author>tc={36349A92-C785-4B61-87C3-39316562AEE4}</author>
    <author>tc={01A14FCA-9593-4C2A-AE6A-5F027EE6C4BA}</author>
    <author>tc={C30B94BA-CEAA-4C91-B86A-D8A3BCA8D6A6}</author>
    <author>tc={78F6A571-B8D8-4292-9C77-094362206ABC}</author>
    <author>tc={C142EAA3-7926-4FE4-B43A-BF182D609CA5}</author>
    <author>tc={5A08FA62-D055-45AD-A6B0-76B676677CD0}</author>
    <author>tc={F4C13A6A-B513-47C0-B3C0-B4D415119B09}</author>
    <author>tc={D15DFD83-B6A2-4848-96D6-740C314931A5}</author>
  </authors>
  <commentList>
    <comment ref="L3" authorId="0" shapeId="0" xr:uid="{1C952562-496D-4792-A5DC-3F9A2B354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air</t>
      </text>
    </comment>
    <comment ref="G4" authorId="1" shapeId="0" xr:uid="{91C80942-E1F1-4E3C-8E58-427A5BAE12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 = hc * A * ΔT </t>
      </text>
    </comment>
    <comment ref="H4" authorId="2" shapeId="0" xr:uid="{81B409CB-00EF-4F51-9D57-D5346AB42F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Q=εσA(T4−T∞4​) </t>
      </text>
    </comment>
    <comment ref="J5" authorId="3" shapeId="0" xr:uid="{F6F6861F-97A1-4285-BCDC-18F78EDF93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https://www.engineeringtoolbox.com/solar-radiation-absorbed-materials-d_1568.html
</t>
      </text>
    </comment>
    <comment ref="K5" authorId="4" shapeId="0" xr:uid="{9D9FDF31-8926-4934-A730-7002D6528F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https://www.engineeringtoolbox.com/emissivity-coefficients-d_447.html </t>
      </text>
    </comment>
    <comment ref="L5" authorId="5" shapeId="0" xr:uid="{D875B9E2-0B90-4EF7-8A24-A1B6C8F348D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https://dergipark.org.tr/en/download/article-file/820288#:~:text=In%20the%20literature%2C%20typical%20heat%20transfer%20coefficients,13.14%20W/(m2K)%20for%20steel%20and%20copper%2C%20respectively.</t>
      </text>
    </comment>
    <comment ref="R5" authorId="6" shapeId="0" xr:uid="{CCFBDDE0-E6D9-491F-93F6-A084E74DE361}">
      <text>
        <t>[Threaded comment]
Your version of Excel allows you to read this threaded comment; however, any edits to it will get removed if the file is opened in a newer version of Excel. Learn more: https://go.microsoft.com/fwlink/?linkid=870924
Comment:
    385-413</t>
      </text>
    </comment>
    <comment ref="S5" authorId="7" shapeId="0" xr:uid="{36349A92-C785-4B61-87C3-39316562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https://www.engineeringtoolbox.com/copper-density-specific-heat-thermal-conductivity-vs-temperature-d_2223.html</t>
      </text>
    </comment>
    <comment ref="T5" authorId="8" shapeId="0" xr:uid="{01A14FCA-9593-4C2A-AE6A-5F027EE6C4B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https://www.engineeringtoolbox.com/specific-heat-metals-d_152.html</t>
      </text>
    </comment>
    <comment ref="J6" authorId="9" shapeId="0" xr:uid="{C30B94BA-CEAA-4C91-B86A-D8A3BCA8D6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https://www.engineeringtoolbox.com/solar-radiation-absorbed-materials-d_1568.html
</t>
      </text>
    </comment>
    <comment ref="K6" authorId="10" shapeId="0" xr:uid="{78F6A571-B8D8-4292-9C77-094362206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https://www.engineeringtoolbox.com/emissivity-coefficients-d_447.html </t>
      </text>
    </comment>
    <comment ref="L6" authorId="11" shapeId="0" xr:uid="{C142EAA3-7926-4FE4-B43A-BF182D609CA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https://dergipark.org.tr/en/download/article-file/820288#:~:text=In%20the%20literature%2C%20typical%20heat%20transfer%20coefficients,13.14%20W/(m2K)%20for%20steel%20and%20copper%2C%20respectively.</t>
      </text>
    </comment>
    <comment ref="R6" authorId="12" shapeId="0" xr:uid="{5A08FA62-D055-45AD-A6B0-76B676677CD0}">
      <text>
        <t>[Threaded comment]
Your version of Excel allows you to read this threaded comment; however, any edits to it will get removed if the file is opened in a newer version of Excel. Learn more: https://go.microsoft.com/fwlink/?linkid=870924
Comment:
    385-413</t>
      </text>
    </comment>
    <comment ref="S6" authorId="13" shapeId="0" xr:uid="{F4C13A6A-B513-47C0-B3C0-B4D41511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https://www.engineeringtoolbox.com/copper-density-specific-heat-thermal-conductivity-vs-temperature-d_2223.html</t>
      </text>
    </comment>
    <comment ref="T6" authorId="14" shapeId="0" xr:uid="{D15DFD83-B6A2-4848-96D6-740C314931A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https://www.engineeringtoolbox.com/specific-heat-metals-d_152.html</t>
      </text>
    </comment>
  </commentList>
</comments>
</file>

<file path=xl/sharedStrings.xml><?xml version="1.0" encoding="utf-8"?>
<sst xmlns="http://schemas.openxmlformats.org/spreadsheetml/2006/main" count="49" uniqueCount="46">
  <si>
    <t>Reflector</t>
  </si>
  <si>
    <t>Acrylic mirror</t>
  </si>
  <si>
    <t>UV</t>
  </si>
  <si>
    <t>Visible Light</t>
  </si>
  <si>
    <t>IR</t>
  </si>
  <si>
    <t xml:space="preserve"> clear acrylic coating</t>
  </si>
  <si>
    <t>Al coating</t>
  </si>
  <si>
    <t>thermoplsatic acrylic sheet (PMMA)</t>
  </si>
  <si>
    <t>Absorption</t>
  </si>
  <si>
    <t>AM</t>
  </si>
  <si>
    <t>% adjusted</t>
  </si>
  <si>
    <t>No. of Reflectors</t>
  </si>
  <si>
    <t>Total W reflected</t>
  </si>
  <si>
    <t>Receiver</t>
  </si>
  <si>
    <t xml:space="preserve">Copper Conical Cylinder </t>
  </si>
  <si>
    <t>Total reflected (W)</t>
  </si>
  <si>
    <t xml:space="preserve">Heat conductivity (W/mK) </t>
  </si>
  <si>
    <t>Cp (J/kgK)</t>
  </si>
  <si>
    <t>Length (m)</t>
  </si>
  <si>
    <t>Weight (kg)</t>
  </si>
  <si>
    <t>Heat/K (J)</t>
  </si>
  <si>
    <t>Convection</t>
  </si>
  <si>
    <t>Radiation</t>
  </si>
  <si>
    <t>Losses (W)</t>
  </si>
  <si>
    <t>Atm temp</t>
  </si>
  <si>
    <t>Receiver temp</t>
  </si>
  <si>
    <t>W absorbed by receiver</t>
  </si>
  <si>
    <t>ε (emmisivity)</t>
  </si>
  <si>
    <t>α (absorptivity)</t>
  </si>
  <si>
    <t>Total W</t>
  </si>
  <si>
    <t>W direct</t>
  </si>
  <si>
    <t xml:space="preserve">Solar Tower </t>
  </si>
  <si>
    <t>Configuration</t>
  </si>
  <si>
    <r>
      <t>Irradiance (W/m</t>
    </r>
    <r>
      <rPr>
        <b/>
        <vertAlign val="superscript"/>
        <sz val="11"/>
        <color theme="1"/>
        <rFont val="Aptos Narrow"/>
        <family val="2"/>
        <scheme val="minor"/>
      </rPr>
      <t xml:space="preserve">2 </t>
    </r>
    <r>
      <rPr>
        <b/>
        <sz val="11"/>
        <color theme="1"/>
        <rFont val="Aptos Narrow"/>
        <family val="2"/>
        <scheme val="minor"/>
      </rPr>
      <t>)</t>
    </r>
  </si>
  <si>
    <r>
      <t>Surface Area (m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</si>
  <si>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Parabolic Dish</t>
  </si>
  <si>
    <t xml:space="preserve">W/ reflector </t>
  </si>
  <si>
    <t>refelcted (W)/ reflector</t>
  </si>
  <si>
    <t>Solar Tower</t>
  </si>
  <si>
    <r>
      <t>hc (W/m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K)</t>
    </r>
  </si>
  <si>
    <r>
      <t>Surafce Area (m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</si>
  <si>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Volume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</si>
  <si>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</si>
  <si>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t>Calculates the no. of watts reflected from the reflectors on to the receiver</t>
  </si>
  <si>
    <t>Calculates the no. of watts absorbed by the receiver</t>
  </si>
  <si>
    <t>Time taken to raise
temperature by 1K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</si>
</sst>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2" fillId="0" borderId="0" xfId="1"/>
    <xf numFmtId="0" fontId="3" fillId="0" borderId="0" xfId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igasekara Arani Himanya" id="{397BC01E-350D-410F-8F29-5B7DCAE6B6BB}" userId="S::e0985853@u.nus.edu::0486641d-ecbd-4c41-a3c0-d7d47ecca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" dT="2025-09-08T03:03:05.77" personId="{397BC01E-350D-410F-8F29-5B7DCAE6B6BB}" id="{AD559687-C0DB-424C-B603-137F20BBBD69}">
    <text>https://www.researchgate.net/figure/Ultraviolet-visible-UV-vis-absorption-spectrum-for-Al-metal-complex_fig1_350942334</text>
    <extLst>
      <x:ext xmlns:xltc2="http://schemas.microsoft.com/office/spreadsheetml/2020/threadedcomments2" uri="{F7C98A9C-CBB3-438F-8F68-D28B6AF4A901}">
        <xltc2:checksum>3217759027</xltc2:checksum>
        <xltc2:hyperlink startIndex="0" length="118" url="https://www.researchgate.net/figure/Ultraviolet-visible-UV-vis-absorption-spectrum-for-Al-metal-complex_fig1_350942334"/>
      </x:ext>
    </extLst>
  </threadedComment>
  <threadedComment ref="L8" dT="2025-09-08T03:06:00.74" personId="{397BC01E-350D-410F-8F29-5B7DCAE6B6BB}" id="{35D96BD2-8BBB-4DE9-8A85-BC65E9B7FF9F}">
    <text>https://www-sciencedirect-com.libproxy1.nus.edu.sg/science/article/pii/S0143816600000105</text>
    <extLst>
      <x:ext xmlns:xltc2="http://schemas.microsoft.com/office/spreadsheetml/2020/threadedcomments2" uri="{F7C98A9C-CBB3-438F-8F68-D28B6AF4A901}">
        <xltc2:checksum>4068673949</xltc2:checksum>
        <xltc2:hyperlink startIndex="0" length="88" url="https://www-sciencedirect-com.libproxy1.nus.edu.sg/science/article/pii/S0143816600000105"/>
      </x:ext>
    </extLst>
  </threadedComment>
  <threadedComment ref="M8" dT="2025-09-08T03:08:46.52" personId="{397BC01E-350D-410F-8F29-5B7DCAE6B6BB}" id="{E3E8E225-249D-4175-9409-33DD8342E60F}">
    <text>https://osb.westfraser.com/wp-content/uploads/2017/05/The-Physics-of-Foil.pdf</text>
    <extLst>
      <x:ext xmlns:xltc2="http://schemas.microsoft.com/office/spreadsheetml/2020/threadedcomments2" uri="{F7C98A9C-CBB3-438F-8F68-D28B6AF4A901}">
        <xltc2:checksum>1753703195</xltc2:checksum>
        <xltc2:hyperlink startIndex="0" length="77" url="https://osb.westfraser.com/wp-content/uploads/2017/05/The-Physics-of-Foil.pdf"/>
      </x:ext>
    </extLst>
  </threadedComment>
  <threadedComment ref="K9" dT="2025-09-07T08:44:15.99" personId="{397BC01E-350D-410F-8F29-5B7DCAE6B6BB}" id="{B1E00D54-8AA5-49A5-BF9B-94D01D9D50AF}">
    <text>https://uvacrylic.com/blog/can-infrared-pass-through-acrylic/#:~:text=Get%20the%20Right%20Info%20Here,methods%20to%20work%20with%20them.</text>
    <extLst>
      <x:ext xmlns:xltc2="http://schemas.microsoft.com/office/spreadsheetml/2020/threadedcomments2" uri="{F7C98A9C-CBB3-438F-8F68-D28B6AF4A901}">
        <xltc2:checksum>615486318</xltc2:checksum>
        <xltc2:hyperlink startIndex="0" length="135" url="https://uvacrylic.com/blog/can-infrared-pass-through-acrylic/#:~:text=Get%20the%20Right%20Info%20Here,methods%20to%20work%20with%20them"/>
      </x:ext>
    </extLst>
  </threadedComment>
  <threadedComment ref="L9" dT="2025-09-07T08:45:56.19" personId="{397BC01E-350D-410F-8F29-5B7DCAE6B6BB}" id="{D9333D69-295C-41CC-9C2B-9ADE7561F7FD}">
    <text>https://www.acrylite.co/resources/knowledge-base/article/can-you-explain-the-visible-light-spectrum-and-transmission-and-show-how-your-acrylite-r-acrylic-sheets-compare-to-each-other?category=product-properties#:~:text=However%2C%20the%20eye%20is%20not,green%20areas%20of%20the%20spectrum.&amp;text=When%20a%20light%20beam%20strikes,factor%20will%20be%20approximately%2085%25.</text>
    <extLst>
      <x:ext xmlns:xltc2="http://schemas.microsoft.com/office/spreadsheetml/2020/threadedcomments2" uri="{F7C98A9C-CBB3-438F-8F68-D28B6AF4A901}">
        <xltc2:checksum>3107189845</xltc2:checksum>
        <xltc2:hyperlink startIndex="0" length="371" url="https://www.acrylite.co/resources/knowledge-base/article/can-you-explain-the-visible-light-spectrum-and-transmission-and-show-how-your-acrylite-r-acrylic-sheets-compare-to-each-other?category=product-properties#:~:text=However%2C%20the%20eye%20is%20not,green%20areas%20of%20the%20spectrum.&amp;text=When%20a%20light%20beam%20strikes,factor%20will%20be%20approximately%2085%25"/>
      </x:ext>
    </extLst>
  </threadedComment>
  <threadedComment ref="M9" dT="2025-09-07T08:46:12.80" personId="{397BC01E-350D-410F-8F29-5B7DCAE6B6BB}" id="{6BF0226C-ECDA-4F75-A056-63E39D496B5A}">
    <text>https://uvacrylic.com/blog/can-infrared-pass-through-acrylic/#:~:text=Get%20the%20Right%20Info%20Here,methods%20to%20work%20with%20them.</text>
    <extLst>
      <x:ext xmlns:xltc2="http://schemas.microsoft.com/office/spreadsheetml/2020/threadedcomments2" uri="{F7C98A9C-CBB3-438F-8F68-D28B6AF4A901}">
        <xltc2:checksum>615486318</xltc2:checksum>
        <xltc2:hyperlink startIndex="0" length="135" url="https://uvacrylic.com/blog/can-infrared-pass-through-acrylic/#:~:text=Get%20the%20Right%20Info%20Here,methods%20to%20work%20with%20them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" dT="2025-09-08T04:57:15.60" personId="{397BC01E-350D-410F-8F29-5B7DCAE6B6BB}" id="{1C952562-496D-4792-A5DC-3F9A2B35452F}">
    <text>Still air</text>
  </threadedComment>
  <threadedComment ref="G4" dT="2025-09-08T04:52:14.21" personId="{397BC01E-350D-410F-8F29-5B7DCAE6B6BB}" id="{91C80942-E1F1-4E3C-8E58-427A5BAE121B}">
    <text xml:space="preserve">q = hc * A * ΔT </text>
  </threadedComment>
  <threadedComment ref="H4" dT="2025-09-08T05:00:08.15" personId="{397BC01E-350D-410F-8F29-5B7DCAE6B6BB}" id="{81B409CB-00EF-4F51-9D57-D5346AB42FAA}">
    <text xml:space="preserve">Q=εσA(T4−T∞4​) </text>
  </threadedComment>
  <threadedComment ref="J5" dT="2025-11-14T17:05:29.47" personId="{397BC01E-350D-410F-8F29-5B7DCAE6B6BB}" id="{F6F6861F-97A1-4285-BCDC-18F78EDF9322}">
    <text xml:space="preserve">https://www.engineeringtoolbox.com/solar-radiation-absorbed-materials-d_1568.html
</text>
    <extLst>
      <x:ext xmlns:xltc2="http://schemas.microsoft.com/office/spreadsheetml/2020/threadedcomments2" uri="{F7C98A9C-CBB3-438F-8F68-D28B6AF4A901}">
        <xltc2:checksum>3285472846</xltc2:checksum>
        <xltc2:hyperlink startIndex="0" length="81" url="https://www.engineeringtoolbox.com/solar-radiation-absorbed-materials-d_1568.html?utm_source=chatgpt.com"/>
      </x:ext>
    </extLst>
  </threadedComment>
  <threadedComment ref="K5" dT="2025-11-14T17:05:52.46" personId="{397BC01E-350D-410F-8F29-5B7DCAE6B6BB}" id="{9D9FDF31-8926-4934-A730-7002D6528FED}">
    <text xml:space="preserve">https://www.engineeringtoolbox.com/emissivity-coefficients-d_447.html </text>
    <extLst>
      <x:ext xmlns:xltc2="http://schemas.microsoft.com/office/spreadsheetml/2020/threadedcomments2" uri="{F7C98A9C-CBB3-438F-8F68-D28B6AF4A901}">
        <xltc2:checksum>4094129388</xltc2:checksum>
        <xltc2:hyperlink startIndex="0" length="69" url="https://www.engineeringtoolbox.com/emissivity-coefficients-d_447.html"/>
      </x:ext>
    </extLst>
  </threadedComment>
  <threadedComment ref="L5" dT="2025-09-08T04:56:44.69" personId="{397BC01E-350D-410F-8F29-5B7DCAE6B6BB}" id="{D875B9E2-0B90-4EF7-8A24-A1B6C8F348D9}">
    <text>https://dergipark.org.tr/en/download/article-file/820288#:~:text=In%20the%20literature%2C%20typical%20heat%20transfer%20coefficients,13.14%20W/(m2K)%20for%20steel%20and%20copper%2C%20respectively.</text>
    <extLst>
      <x:ext xmlns:xltc2="http://schemas.microsoft.com/office/spreadsheetml/2020/threadedcomments2" uri="{F7C98A9C-CBB3-438F-8F68-D28B6AF4A901}">
        <xltc2:checksum>1213513930</xltc2:checksum>
        <xltc2:hyperlink startIndex="0" length="195" url="https://dergipark.org.tr/en/download/article-file/820288#:~:text=In%20the%20literature%2C%20typical%20heat%20transfer%20coefficients,13.14%20W/(m2K)%20for%20steel%20and%20copper%2C%20respectively"/>
      </x:ext>
    </extLst>
  </threadedComment>
  <threadedComment ref="R5" dT="2025-09-08T03:59:25.31" personId="{397BC01E-350D-410F-8F29-5B7DCAE6B6BB}" id="{CCFBDDE0-E6D9-491F-93F6-A084E74DE361}">
    <text>385-413</text>
  </threadedComment>
  <threadedComment ref="S5" dT="2025-11-14T17:15:58.65" personId="{397BC01E-350D-410F-8F29-5B7DCAE6B6BB}" id="{36349A92-C785-4B61-87C3-39316562AEE4}">
    <text>https://www.engineeringtoolbox.com/copper-density-specific-heat-thermal-conductivity-vs-temperature-d_2223.html</text>
    <extLst>
      <x:ext xmlns:xltc2="http://schemas.microsoft.com/office/spreadsheetml/2020/threadedcomments2" uri="{F7C98A9C-CBB3-438F-8F68-D28B6AF4A901}">
        <xltc2:checksum>123016496</xltc2:checksum>
        <xltc2:hyperlink startIndex="0" length="111" url="https://www.engineeringtoolbox.com/copper-density-specific-heat-thermal-conductivity-vs-temperature-d_2223.html"/>
      </x:ext>
    </extLst>
  </threadedComment>
  <threadedComment ref="T5" dT="2025-11-14T17:11:02.35" personId="{397BC01E-350D-410F-8F29-5B7DCAE6B6BB}" id="{01A14FCA-9593-4C2A-AE6A-5F027EE6C4BA}">
    <text>https://www.engineeringtoolbox.com/specific-heat-metals-d_152.html</text>
    <extLst>
      <x:ext xmlns:xltc2="http://schemas.microsoft.com/office/spreadsheetml/2020/threadedcomments2" uri="{F7C98A9C-CBB3-438F-8F68-D28B6AF4A901}">
        <xltc2:checksum>1490602055</xltc2:checksum>
        <xltc2:hyperlink startIndex="0" length="66" url="https://www.engineeringtoolbox.com/specific-heat-metals-d_152.html"/>
      </x:ext>
    </extLst>
  </threadedComment>
  <threadedComment ref="J6" dT="2025-11-14T17:05:29.47" personId="{397BC01E-350D-410F-8F29-5B7DCAE6B6BB}" id="{C30B94BA-CEAA-4C91-B86A-D8A3BCA8D6A6}">
    <text xml:space="preserve">https://www.engineeringtoolbox.com/solar-radiation-absorbed-materials-d_1568.html
</text>
    <extLst>
      <x:ext xmlns:xltc2="http://schemas.microsoft.com/office/spreadsheetml/2020/threadedcomments2" uri="{F7C98A9C-CBB3-438F-8F68-D28B6AF4A901}">
        <xltc2:checksum>3285472846</xltc2:checksum>
        <xltc2:hyperlink startIndex="0" length="81" url="https://www.engineeringtoolbox.com/solar-radiation-absorbed-materials-d_1568.html?utm_source=chatgpt.com"/>
      </x:ext>
    </extLst>
  </threadedComment>
  <threadedComment ref="K6" dT="2025-11-14T17:05:52.46" personId="{397BC01E-350D-410F-8F29-5B7DCAE6B6BB}" id="{78F6A571-B8D8-4292-9C77-094362206ABC}">
    <text xml:space="preserve">https://www.engineeringtoolbox.com/emissivity-coefficients-d_447.html </text>
    <extLst>
      <x:ext xmlns:xltc2="http://schemas.microsoft.com/office/spreadsheetml/2020/threadedcomments2" uri="{F7C98A9C-CBB3-438F-8F68-D28B6AF4A901}">
        <xltc2:checksum>4094129388</xltc2:checksum>
        <xltc2:hyperlink startIndex="0" length="69" url="https://www.engineeringtoolbox.com/emissivity-coefficients-d_447.html"/>
      </x:ext>
    </extLst>
  </threadedComment>
  <threadedComment ref="L6" dT="2025-09-08T04:56:44.69" personId="{397BC01E-350D-410F-8F29-5B7DCAE6B6BB}" id="{C142EAA3-7926-4FE4-B43A-BF182D609CA5}">
    <text>https://dergipark.org.tr/en/download/article-file/820288#:~:text=In%20the%20literature%2C%20typical%20heat%20transfer%20coefficients,13.14%20W/(m2K)%20for%20steel%20and%20copper%2C%20respectively.</text>
    <extLst>
      <x:ext xmlns:xltc2="http://schemas.microsoft.com/office/spreadsheetml/2020/threadedcomments2" uri="{F7C98A9C-CBB3-438F-8F68-D28B6AF4A901}">
        <xltc2:checksum>1213513930</xltc2:checksum>
        <xltc2:hyperlink startIndex="0" length="195" url="https://dergipark.org.tr/en/download/article-file/820288#:~:text=In%20the%20literature%2C%20typical%20heat%20transfer%20coefficients,13.14%20W/(m2K)%20for%20steel%20and%20copper%2C%20respectively"/>
      </x:ext>
    </extLst>
  </threadedComment>
  <threadedComment ref="R6" dT="2025-09-08T03:59:25.31" personId="{397BC01E-350D-410F-8F29-5B7DCAE6B6BB}" id="{5A08FA62-D055-45AD-A6B0-76B676677CD0}">
    <text>385-413</text>
  </threadedComment>
  <threadedComment ref="S6" dT="2025-11-14T17:15:58.65" personId="{397BC01E-350D-410F-8F29-5B7DCAE6B6BB}" id="{F4C13A6A-B513-47C0-B3C0-B4D415119B09}">
    <text>https://www.engineeringtoolbox.com/copper-density-specific-heat-thermal-conductivity-vs-temperature-d_2223.html</text>
    <extLst>
      <x:ext xmlns:xltc2="http://schemas.microsoft.com/office/spreadsheetml/2020/threadedcomments2" uri="{F7C98A9C-CBB3-438F-8F68-D28B6AF4A901}">
        <xltc2:checksum>123016496</xltc2:checksum>
        <xltc2:hyperlink startIndex="0" length="111" url="https://www.engineeringtoolbox.com/copper-density-specific-heat-thermal-conductivity-vs-temperature-d_2223.html"/>
      </x:ext>
    </extLst>
  </threadedComment>
  <threadedComment ref="T6" dT="2025-11-14T17:11:02.35" personId="{397BC01E-350D-410F-8F29-5B7DCAE6B6BB}" id="{D15DFD83-B6A2-4848-96D6-740C314931A5}">
    <text>https://www.engineeringtoolbox.com/specific-heat-metals-d_152.html</text>
    <extLst>
      <x:ext xmlns:xltc2="http://schemas.microsoft.com/office/spreadsheetml/2020/threadedcomments2" uri="{F7C98A9C-CBB3-438F-8F68-D28B6AF4A901}">
        <xltc2:checksum>1490602055</xltc2:checksum>
        <xltc2:hyperlink startIndex="0" length="66" url="https://www.engineeringtoolbox.com/specific-heat-metals-d_152.html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5E37-B018-4C45-96C1-6BF9E91F73A0}">
  <dimension ref="A1:N21"/>
  <sheetViews>
    <sheetView workbookViewId="0">
      <selection activeCell="J15" sqref="J15"/>
    </sheetView>
  </sheetViews>
  <sheetFormatPr defaultRowHeight="14.4" x14ac:dyDescent="0.3"/>
  <cols>
    <col min="1" max="1" width="13.21875" customWidth="1"/>
    <col min="2" max="2" width="14.6640625" bestFit="1" customWidth="1"/>
    <col min="3" max="3" width="15.5546875" bestFit="1" customWidth="1"/>
    <col min="4" max="4" width="15" bestFit="1" customWidth="1"/>
    <col min="5" max="5" width="11.88671875" customWidth="1"/>
    <col min="6" max="6" width="20.88671875" customWidth="1"/>
    <col min="7" max="7" width="14.44140625" bestFit="1" customWidth="1"/>
    <col min="8" max="8" width="18" customWidth="1"/>
    <col min="10" max="10" width="33.77734375" customWidth="1"/>
    <col min="12" max="12" width="10.44140625" bestFit="1" customWidth="1"/>
    <col min="16" max="16" width="14.44140625" bestFit="1" customWidth="1"/>
    <col min="17" max="17" width="15.6640625" bestFit="1" customWidth="1"/>
  </cols>
  <sheetData>
    <row r="1" spans="1:14" x14ac:dyDescent="0.3">
      <c r="B1" s="20" t="s">
        <v>43</v>
      </c>
      <c r="C1" s="20"/>
      <c r="D1" s="20"/>
      <c r="E1" s="20"/>
      <c r="F1" s="20"/>
      <c r="G1" s="20"/>
      <c r="H1" s="20"/>
    </row>
    <row r="3" spans="1:14" ht="16.2" x14ac:dyDescent="0.3">
      <c r="A3" s="7" t="s">
        <v>32</v>
      </c>
      <c r="B3" s="8" t="s">
        <v>9</v>
      </c>
      <c r="C3" s="7" t="s">
        <v>33</v>
      </c>
      <c r="D3" s="7" t="s">
        <v>34</v>
      </c>
      <c r="E3" s="7" t="s">
        <v>36</v>
      </c>
      <c r="F3" s="8" t="s">
        <v>37</v>
      </c>
      <c r="G3" s="7" t="s">
        <v>11</v>
      </c>
      <c r="H3" s="7" t="s">
        <v>15</v>
      </c>
      <c r="I3" s="1"/>
      <c r="J3" s="1" t="s">
        <v>0</v>
      </c>
      <c r="K3" s="6" t="s">
        <v>8</v>
      </c>
      <c r="L3" s="6"/>
      <c r="M3" s="6"/>
    </row>
    <row r="4" spans="1:14" x14ac:dyDescent="0.3">
      <c r="A4" s="9" t="s">
        <v>31</v>
      </c>
      <c r="B4" s="10">
        <v>1.5</v>
      </c>
      <c r="C4" s="10">
        <v>1000</v>
      </c>
      <c r="D4" s="10">
        <v>8.9499999999999996E-2</v>
      </c>
      <c r="E4" s="10">
        <f>C4*D4</f>
        <v>89.5</v>
      </c>
      <c r="F4" s="10">
        <f>E4-(E4*N11)</f>
        <v>74.405824999999993</v>
      </c>
      <c r="G4" s="10">
        <v>8</v>
      </c>
      <c r="H4" s="10">
        <f>G4*F4</f>
        <v>595.24659999999994</v>
      </c>
      <c r="K4" s="2" t="s">
        <v>2</v>
      </c>
      <c r="L4" s="2" t="s">
        <v>3</v>
      </c>
      <c r="M4" s="2" t="s">
        <v>4</v>
      </c>
    </row>
    <row r="5" spans="1:14" x14ac:dyDescent="0.3">
      <c r="A5" s="9"/>
      <c r="B5" s="10"/>
      <c r="C5" s="10"/>
      <c r="D5" s="10"/>
      <c r="E5" s="10"/>
      <c r="F5" s="10"/>
      <c r="G5" s="10"/>
      <c r="H5" s="10"/>
      <c r="K5" s="2">
        <v>0.05</v>
      </c>
      <c r="L5" s="2">
        <v>0.4</v>
      </c>
      <c r="M5" s="2">
        <v>0.53</v>
      </c>
    </row>
    <row r="6" spans="1:14" x14ac:dyDescent="0.3">
      <c r="A6" s="9"/>
      <c r="B6" s="10"/>
      <c r="C6" s="10"/>
      <c r="D6" s="10"/>
      <c r="E6" s="10"/>
      <c r="F6" s="10"/>
      <c r="G6" s="10"/>
      <c r="H6" s="10"/>
      <c r="J6" s="3" t="s">
        <v>1</v>
      </c>
    </row>
    <row r="7" spans="1:14" x14ac:dyDescent="0.3">
      <c r="A7" s="9"/>
      <c r="B7" s="10"/>
      <c r="C7" s="10"/>
      <c r="D7" s="10"/>
      <c r="E7" s="10"/>
      <c r="F7" s="10"/>
      <c r="G7" s="10"/>
      <c r="H7" s="10"/>
      <c r="J7" t="s">
        <v>7</v>
      </c>
    </row>
    <row r="8" spans="1:14" x14ac:dyDescent="0.3">
      <c r="A8" s="9"/>
      <c r="B8" s="10"/>
      <c r="C8" s="10"/>
      <c r="D8" s="10"/>
      <c r="E8" s="10"/>
      <c r="F8" s="10"/>
      <c r="G8" s="10"/>
      <c r="H8" s="10"/>
      <c r="J8" t="s">
        <v>6</v>
      </c>
      <c r="K8">
        <v>0.3</v>
      </c>
      <c r="L8">
        <v>0.1</v>
      </c>
      <c r="M8">
        <v>0.05</v>
      </c>
    </row>
    <row r="9" spans="1:14" x14ac:dyDescent="0.3">
      <c r="A9" s="9"/>
      <c r="B9" s="10"/>
      <c r="C9" s="10"/>
      <c r="D9" s="10"/>
      <c r="E9" s="10"/>
      <c r="F9" s="10"/>
      <c r="G9" s="10"/>
      <c r="H9" s="10"/>
      <c r="J9" t="s">
        <v>5</v>
      </c>
      <c r="K9">
        <v>1</v>
      </c>
      <c r="L9">
        <v>5.0000000000000001E-3</v>
      </c>
      <c r="M9">
        <v>0.1</v>
      </c>
      <c r="N9" s="4"/>
    </row>
    <row r="10" spans="1:14" x14ac:dyDescent="0.3">
      <c r="A10" s="9"/>
      <c r="B10" s="10"/>
      <c r="C10" s="10"/>
      <c r="D10" s="10"/>
      <c r="E10" s="10"/>
      <c r="F10" s="10"/>
      <c r="G10" s="10"/>
      <c r="H10" s="10"/>
      <c r="K10" s="5">
        <v>1</v>
      </c>
      <c r="L10" s="1">
        <f>((1-L9)*L8)+L9</f>
        <v>0.10450000000000001</v>
      </c>
      <c r="M10" s="1">
        <f>((1-M9)*M8)+M9</f>
        <v>0.14500000000000002</v>
      </c>
    </row>
    <row r="11" spans="1:14" x14ac:dyDescent="0.3">
      <c r="A11" s="9"/>
      <c r="B11" s="10"/>
      <c r="C11" s="10"/>
      <c r="D11" s="10"/>
      <c r="E11" s="10"/>
      <c r="F11" s="10"/>
      <c r="G11" s="10"/>
      <c r="H11" s="10"/>
      <c r="J11" t="s">
        <v>10</v>
      </c>
      <c r="K11">
        <f>K10*K5</f>
        <v>0.05</v>
      </c>
      <c r="L11">
        <f>L5*L10</f>
        <v>4.1800000000000004E-2</v>
      </c>
      <c r="M11">
        <f>M5*M10</f>
        <v>7.6850000000000016E-2</v>
      </c>
      <c r="N11" s="1">
        <f>SUM(K11:M11)</f>
        <v>0.16865000000000002</v>
      </c>
    </row>
    <row r="12" spans="1:14" x14ac:dyDescent="0.3">
      <c r="A12" s="9"/>
      <c r="B12" s="10"/>
      <c r="C12" s="10"/>
      <c r="D12" s="10"/>
      <c r="E12" s="10"/>
      <c r="F12" s="10"/>
      <c r="G12" s="10"/>
      <c r="H12" s="10"/>
    </row>
    <row r="13" spans="1:14" x14ac:dyDescent="0.3">
      <c r="A13" s="9" t="s">
        <v>35</v>
      </c>
      <c r="B13" s="10">
        <v>1.5</v>
      </c>
      <c r="C13" s="10">
        <v>1000</v>
      </c>
      <c r="D13" s="10">
        <v>0.64349999999999996</v>
      </c>
      <c r="E13" s="10">
        <f>C13*D13</f>
        <v>643.5</v>
      </c>
      <c r="F13" s="10">
        <f>E13-(E13*N11)</f>
        <v>534.97372499999994</v>
      </c>
      <c r="G13" s="10">
        <v>1</v>
      </c>
      <c r="H13" s="10">
        <f>G13*F13</f>
        <v>534.97372499999994</v>
      </c>
    </row>
    <row r="14" spans="1:14" x14ac:dyDescent="0.3">
      <c r="A14" s="9"/>
      <c r="B14" s="10"/>
      <c r="C14" s="10"/>
      <c r="D14" s="10"/>
      <c r="E14" s="10"/>
      <c r="F14" s="10"/>
      <c r="G14" s="10"/>
      <c r="H14" s="10"/>
    </row>
    <row r="15" spans="1:14" x14ac:dyDescent="0.3">
      <c r="A15" s="9"/>
      <c r="B15" s="10"/>
      <c r="C15" s="10"/>
      <c r="D15" s="10"/>
      <c r="E15" s="10"/>
      <c r="F15" s="10"/>
      <c r="G15" s="10"/>
      <c r="H15" s="10"/>
    </row>
    <row r="16" spans="1:14" x14ac:dyDescent="0.3">
      <c r="A16" s="9"/>
      <c r="B16" s="10"/>
      <c r="C16" s="10"/>
      <c r="D16" s="10"/>
      <c r="E16" s="10"/>
      <c r="F16" s="10"/>
      <c r="G16" s="10"/>
      <c r="H16" s="10"/>
    </row>
    <row r="17" spans="1:8" x14ac:dyDescent="0.3">
      <c r="A17" s="9"/>
      <c r="B17" s="10"/>
      <c r="C17" s="10"/>
      <c r="D17" s="10"/>
      <c r="E17" s="10"/>
      <c r="F17" s="10"/>
      <c r="G17" s="10"/>
      <c r="H17" s="10"/>
    </row>
    <row r="18" spans="1:8" x14ac:dyDescent="0.3">
      <c r="A18" s="9"/>
      <c r="B18" s="10"/>
      <c r="C18" s="10"/>
      <c r="D18" s="10"/>
      <c r="E18" s="10"/>
      <c r="F18" s="10"/>
      <c r="G18" s="10"/>
      <c r="H18" s="10"/>
    </row>
    <row r="19" spans="1:8" x14ac:dyDescent="0.3">
      <c r="A19" s="9"/>
      <c r="B19" s="10"/>
      <c r="C19" s="10"/>
      <c r="D19" s="10"/>
      <c r="E19" s="10"/>
      <c r="F19" s="10"/>
      <c r="G19" s="10"/>
      <c r="H19" s="10"/>
    </row>
    <row r="20" spans="1:8" x14ac:dyDescent="0.3">
      <c r="A20" s="9"/>
      <c r="B20" s="10"/>
      <c r="C20" s="10"/>
      <c r="D20" s="10"/>
      <c r="E20" s="10"/>
      <c r="F20" s="10"/>
      <c r="G20" s="10"/>
      <c r="H20" s="10"/>
    </row>
    <row r="21" spans="1:8" x14ac:dyDescent="0.3">
      <c r="A21" s="9"/>
      <c r="B21" s="10"/>
      <c r="C21" s="10"/>
      <c r="D21" s="10"/>
      <c r="E21" s="10"/>
      <c r="F21" s="10"/>
      <c r="G21" s="10"/>
      <c r="H21" s="10"/>
    </row>
  </sheetData>
  <mergeCells count="18">
    <mergeCell ref="F13:F21"/>
    <mergeCell ref="G13:G21"/>
    <mergeCell ref="H13:H21"/>
    <mergeCell ref="B1:H1"/>
    <mergeCell ref="A13:A21"/>
    <mergeCell ref="B13:B21"/>
    <mergeCell ref="C13:C21"/>
    <mergeCell ref="D13:D21"/>
    <mergeCell ref="E13:E21"/>
    <mergeCell ref="K3:M3"/>
    <mergeCell ref="A4:A12"/>
    <mergeCell ref="B4:B12"/>
    <mergeCell ref="C4:C12"/>
    <mergeCell ref="D4:D12"/>
    <mergeCell ref="E4:E12"/>
    <mergeCell ref="F4:F12"/>
    <mergeCell ref="G4:G12"/>
    <mergeCell ref="H4:H1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6E3B-A9F0-4A3E-BD81-C5D4EDEE8939}">
  <dimension ref="A1:V14"/>
  <sheetViews>
    <sheetView tabSelected="1" workbookViewId="0">
      <selection activeCell="I15" sqref="A1:XFD1048576"/>
    </sheetView>
  </sheetViews>
  <sheetFormatPr defaultRowHeight="14.4" x14ac:dyDescent="0.3"/>
  <cols>
    <col min="1" max="1" width="13.109375" customWidth="1"/>
    <col min="2" max="2" width="14.5546875" style="2" bestFit="1" customWidth="1"/>
    <col min="3" max="6" width="14.5546875" style="2" customWidth="1"/>
    <col min="7" max="7" width="10" style="2" bestFit="1" customWidth="1"/>
    <col min="8" max="8" width="12" style="2" bestFit="1" customWidth="1"/>
    <col min="9" max="9" width="20.5546875" style="2" bestFit="1" customWidth="1"/>
    <col min="10" max="10" width="13.88671875" style="2" bestFit="1" customWidth="1"/>
    <col min="11" max="11" width="12.109375" style="2" bestFit="1" customWidth="1"/>
    <col min="12" max="12" width="10.44140625" style="2" bestFit="1" customWidth="1"/>
    <col min="13" max="13" width="20.77734375" style="2" bestFit="1" customWidth="1"/>
    <col min="14" max="14" width="9.77734375" style="2" bestFit="1" customWidth="1"/>
    <col min="15" max="15" width="15.5546875" style="2" bestFit="1" customWidth="1"/>
    <col min="16" max="17" width="12" style="2" bestFit="1" customWidth="1"/>
    <col min="18" max="18" width="23.109375" style="2" bestFit="1" customWidth="1"/>
    <col min="19" max="19" width="13.88671875" style="2" bestFit="1" customWidth="1"/>
    <col min="20" max="20" width="9.33203125" style="2" bestFit="1" customWidth="1"/>
    <col min="21" max="21" width="12" style="2" bestFit="1" customWidth="1"/>
    <col min="22" max="22" width="18.109375" bestFit="1" customWidth="1"/>
  </cols>
  <sheetData>
    <row r="1" spans="1:22" x14ac:dyDescent="0.3">
      <c r="A1" s="20" t="s">
        <v>44</v>
      </c>
      <c r="B1" s="20"/>
      <c r="C1" s="20"/>
      <c r="D1" s="20"/>
      <c r="E1" s="20"/>
      <c r="F1" s="20"/>
      <c r="G1" s="20"/>
      <c r="H1" s="20"/>
      <c r="I1" s="20"/>
    </row>
    <row r="3" spans="1:22" ht="16.2" customHeight="1" x14ac:dyDescent="0.3">
      <c r="A3" s="14" t="s">
        <v>32</v>
      </c>
      <c r="B3" s="14" t="s">
        <v>12</v>
      </c>
      <c r="C3" s="14" t="s">
        <v>30</v>
      </c>
      <c r="D3" s="14" t="s">
        <v>29</v>
      </c>
      <c r="E3" s="14" t="s">
        <v>24</v>
      </c>
      <c r="F3" s="14" t="s">
        <v>25</v>
      </c>
      <c r="G3" s="11" t="s">
        <v>23</v>
      </c>
      <c r="H3" s="11"/>
      <c r="I3" s="14" t="s">
        <v>26</v>
      </c>
      <c r="J3" s="14" t="s">
        <v>28</v>
      </c>
      <c r="K3" s="16" t="s">
        <v>27</v>
      </c>
      <c r="L3" s="14" t="s">
        <v>39</v>
      </c>
      <c r="M3" s="14" t="s">
        <v>13</v>
      </c>
      <c r="N3" s="17" t="s">
        <v>18</v>
      </c>
      <c r="O3" s="17" t="s">
        <v>40</v>
      </c>
      <c r="P3" s="17" t="s">
        <v>41</v>
      </c>
      <c r="Q3" s="17" t="s">
        <v>19</v>
      </c>
      <c r="R3" s="14" t="s">
        <v>16</v>
      </c>
      <c r="S3" s="14" t="s">
        <v>42</v>
      </c>
      <c r="T3" s="14" t="s">
        <v>17</v>
      </c>
      <c r="U3" s="14" t="s">
        <v>20</v>
      </c>
      <c r="V3" s="21" t="s">
        <v>45</v>
      </c>
    </row>
    <row r="4" spans="1:22" ht="34.200000000000003" customHeight="1" x14ac:dyDescent="0.3">
      <c r="A4" s="15"/>
      <c r="B4" s="15"/>
      <c r="C4" s="15"/>
      <c r="D4" s="15"/>
      <c r="E4" s="15"/>
      <c r="F4" s="15"/>
      <c r="G4" s="8" t="s">
        <v>21</v>
      </c>
      <c r="H4" s="8" t="s">
        <v>22</v>
      </c>
      <c r="I4" s="15"/>
      <c r="J4" s="15"/>
      <c r="K4" s="18"/>
      <c r="L4" s="15"/>
      <c r="M4" s="15"/>
      <c r="N4" s="19"/>
      <c r="O4" s="19"/>
      <c r="P4" s="19"/>
      <c r="Q4" s="19"/>
      <c r="R4" s="15"/>
      <c r="S4" s="15"/>
      <c r="T4" s="15"/>
      <c r="U4" s="15"/>
      <c r="V4" s="15"/>
    </row>
    <row r="5" spans="1:22" ht="36" customHeight="1" x14ac:dyDescent="0.3">
      <c r="A5" s="22" t="s">
        <v>38</v>
      </c>
      <c r="B5" s="12">
        <f>Reflector!H4</f>
        <v>595.24659999999994</v>
      </c>
      <c r="C5" s="12">
        <f>1000*O5</f>
        <v>503.4</v>
      </c>
      <c r="D5" s="12">
        <f>B5+C5</f>
        <v>1098.6466</v>
      </c>
      <c r="E5" s="12">
        <v>30</v>
      </c>
      <c r="F5" s="12">
        <v>65</v>
      </c>
      <c r="G5" s="12">
        <f>L5*O5*(F5-E5)</f>
        <v>231.51365999999999</v>
      </c>
      <c r="H5" s="12">
        <f>K5*5.67*(10^-8)*O5*(((273.15+F5)^4)-((273.15+E5)^4))</f>
        <v>125.52589161823043</v>
      </c>
      <c r="I5" s="13">
        <f>(D5*J5)-(G5+H5)</f>
        <v>631.74238838176962</v>
      </c>
      <c r="J5" s="12">
        <v>0.9</v>
      </c>
      <c r="K5" s="12">
        <v>0.95</v>
      </c>
      <c r="L5" s="12">
        <v>13.14</v>
      </c>
      <c r="M5" s="12" t="s">
        <v>14</v>
      </c>
      <c r="N5" s="12">
        <v>13.965</v>
      </c>
      <c r="O5" s="12">
        <v>0.50339999999999996</v>
      </c>
      <c r="P5" s="12">
        <f>((PI()*(0.00635^2)) - (PI()*(0.004^2)))*N5</f>
        <v>1.0670850238810356E-3</v>
      </c>
      <c r="Q5" s="12">
        <f>S5*P5</f>
        <v>9.5280021782337663</v>
      </c>
      <c r="R5" s="12">
        <v>400</v>
      </c>
      <c r="S5" s="12">
        <v>8929</v>
      </c>
      <c r="T5" s="12">
        <v>385</v>
      </c>
      <c r="U5" s="12">
        <f>Q5*T5*1</f>
        <v>3668.2808386199999</v>
      </c>
      <c r="V5" s="12">
        <f>U5/I5</f>
        <v>5.8066086843031552</v>
      </c>
    </row>
    <row r="6" spans="1:22" ht="43.8" customHeight="1" x14ac:dyDescent="0.3">
      <c r="A6" s="22" t="s">
        <v>35</v>
      </c>
      <c r="B6" s="12">
        <f>Reflector!H13</f>
        <v>534.97372499999994</v>
      </c>
      <c r="C6" s="12">
        <f>1000*O6</f>
        <v>503.4</v>
      </c>
      <c r="D6" s="12">
        <f>B6+C6</f>
        <v>1038.3737249999999</v>
      </c>
      <c r="E6" s="12">
        <v>30</v>
      </c>
      <c r="F6" s="12">
        <v>65</v>
      </c>
      <c r="G6" s="12">
        <f>L6*O6*(F6-E6)</f>
        <v>231.51365999999999</v>
      </c>
      <c r="H6" s="12">
        <f>K6*5.67*(10^-8)*O6*(((273.15+F6)^4)-((273.15+E6)^4))</f>
        <v>125.52589161823043</v>
      </c>
      <c r="I6" s="13">
        <f>(D6*J6)-(G6+H6)</f>
        <v>577.49680088176956</v>
      </c>
      <c r="J6" s="12">
        <v>0.9</v>
      </c>
      <c r="K6" s="12">
        <v>0.95</v>
      </c>
      <c r="L6" s="12">
        <v>13.14</v>
      </c>
      <c r="M6" s="12" t="s">
        <v>14</v>
      </c>
      <c r="N6" s="12">
        <v>13.965</v>
      </c>
      <c r="O6" s="12">
        <v>0.50339999999999996</v>
      </c>
      <c r="P6" s="12">
        <f>((PI()*(0.00635^2)) - (PI()*(0.004^2)))*N6</f>
        <v>1.0670850238810356E-3</v>
      </c>
      <c r="Q6" s="12">
        <f>S6*P6</f>
        <v>9.5280021782337663</v>
      </c>
      <c r="R6" s="12">
        <v>400</v>
      </c>
      <c r="S6" s="12">
        <v>8929</v>
      </c>
      <c r="T6" s="12">
        <v>385</v>
      </c>
      <c r="U6" s="12">
        <f>Q6*T6*1</f>
        <v>3668.2808386199999</v>
      </c>
      <c r="V6" s="12">
        <f>U6/I6</f>
        <v>6.3520366398895503</v>
      </c>
    </row>
    <row r="14" spans="1:22" x14ac:dyDescent="0.3">
      <c r="F14" s="23"/>
    </row>
  </sheetData>
  <mergeCells count="22">
    <mergeCell ref="S3:S4"/>
    <mergeCell ref="T3:T4"/>
    <mergeCell ref="U3:U4"/>
    <mergeCell ref="V3:V4"/>
    <mergeCell ref="A1:I1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  <mergeCell ref="G3:H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Reflector</vt:lpstr>
      <vt:lpstr>Receiver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Wanigasekara Arani Himanya</dc:creator>
  <cp:lastModifiedBy>Wanigasekara Arani Himanya</cp:lastModifiedBy>
  <dcterms:created xsi:type="dcterms:W3CDTF">2025-09-07T07:51:43Z</dcterms:created>
  <dcterms:modified xsi:type="dcterms:W3CDTF">2025-11-14T17:49:45Z</dcterms:modified>
</cp:coreProperties>
</file>